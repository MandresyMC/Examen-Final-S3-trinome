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M.RojoL2/Examen-Final-S3-trinome-2/"/>
    </mc:Choice>
  </mc:AlternateContent>
  <xr:revisionPtr revIDLastSave="0" documentId="13_ncr:1_{43E6C68E-F1E0-7D49-8D52-278F7555B117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Détails1" sheetId="5" r:id="rId1"/>
    <sheet name="Recap" sheetId="1" r:id="rId2"/>
    <sheet name="liste des taches" sheetId="2" r:id="rId3"/>
    <sheet name="avancement projet" sheetId="3" r:id="rId4"/>
    <sheet name="detail" sheetId="4" r:id="rId5"/>
  </sheets>
  <calcPr calcId="191029"/>
  <pivotCaches>
    <pivotCache cacheId="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dav+3kVL1yfMtTfKoAJd+z/P7Ga9+sT1+Tmc7T0Eomg="/>
    </ext>
  </extLst>
</workbook>
</file>

<file path=xl/calcChain.xml><?xml version="1.0" encoding="utf-8"?>
<calcChain xmlns="http://schemas.openxmlformats.org/spreadsheetml/2006/main">
  <c r="H54" i="2" l="1"/>
  <c r="J10" i="2"/>
  <c r="J11" i="2"/>
  <c r="J12" i="2"/>
  <c r="J14" i="2"/>
  <c r="J15" i="2"/>
  <c r="J16" i="2"/>
  <c r="J18" i="2"/>
  <c r="J19" i="2"/>
  <c r="J20" i="2"/>
  <c r="J23" i="2"/>
  <c r="J24" i="2"/>
  <c r="J26" i="2"/>
  <c r="J27" i="2"/>
  <c r="J29" i="2"/>
  <c r="J30" i="2"/>
  <c r="J32" i="2"/>
  <c r="J33" i="2"/>
  <c r="J34" i="2"/>
  <c r="J36" i="2"/>
  <c r="J37" i="2"/>
  <c r="J38" i="2"/>
  <c r="J40" i="2"/>
  <c r="J41" i="2"/>
  <c r="J42" i="2"/>
  <c r="J43" i="2"/>
  <c r="J44" i="2"/>
  <c r="J45" i="2"/>
  <c r="J46" i="2"/>
  <c r="J47" i="2"/>
  <c r="J48" i="2"/>
  <c r="J50" i="2"/>
  <c r="J51" i="2"/>
  <c r="J53" i="2"/>
  <c r="J6" i="2"/>
  <c r="J7" i="2"/>
  <c r="J8" i="2"/>
  <c r="J3" i="2"/>
  <c r="J4" i="2"/>
  <c r="J2" i="2"/>
  <c r="I5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3" i="2"/>
  <c r="I4" i="2"/>
  <c r="I2" i="2"/>
  <c r="B8" i="4"/>
  <c r="B7" i="4"/>
  <c r="B6" i="4"/>
  <c r="B5" i="4"/>
  <c r="B4" i="4"/>
  <c r="B3" i="4"/>
  <c r="B2" i="4"/>
  <c r="A2" i="3"/>
  <c r="I54" i="2" l="1"/>
  <c r="J54" i="2" s="1"/>
  <c r="B2" i="3"/>
  <c r="C2" i="3" l="1"/>
  <c r="C3" i="3" s="1"/>
  <c r="D2" i="3" l="1"/>
  <c r="B1" i="1" s="1"/>
  <c r="E2" i="3"/>
</calcChain>
</file>

<file path=xl/sharedStrings.xml><?xml version="1.0" encoding="utf-8"?>
<sst xmlns="http://schemas.openxmlformats.org/spreadsheetml/2006/main" count="275" uniqueCount="95">
  <si>
    <t>Avancement</t>
  </si>
  <si>
    <t>Qui</t>
  </si>
  <si>
    <t>Somme de Estimation</t>
  </si>
  <si>
    <t>RAKOTO</t>
  </si>
  <si>
    <t>Total général</t>
  </si>
  <si>
    <t>Ligne</t>
  </si>
  <si>
    <t>Catégorie</t>
  </si>
  <si>
    <t>Module</t>
  </si>
  <si>
    <t>Nom page</t>
  </si>
  <si>
    <t>Description</t>
  </si>
  <si>
    <t>Type</t>
  </si>
  <si>
    <t>Estimation</t>
  </si>
  <si>
    <t>Temps passé</t>
  </si>
  <si>
    <t>Reste à faire</t>
  </si>
  <si>
    <t>Status</t>
  </si>
  <si>
    <t>Login</t>
  </si>
  <si>
    <t>index.php</t>
  </si>
  <si>
    <t>Création html</t>
  </si>
  <si>
    <t>Affichage</t>
  </si>
  <si>
    <t>Design css</t>
  </si>
  <si>
    <t>Fonction</t>
  </si>
  <si>
    <t>traitement-login.php</t>
  </si>
  <si>
    <t>fonctionnement login</t>
  </si>
  <si>
    <t>Code intégration</t>
  </si>
  <si>
    <t>dashboard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</si>
  <si>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</si>
  <si>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</si>
  <si>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</si>
  <si>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</si>
  <si>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</si>
  <si>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</si>
  <si>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</si>
  <si>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>(vide)</t>
  </si>
  <si>
    <t>dashboardRepository</t>
  </si>
  <si>
    <t>dashboardController</t>
  </si>
  <si>
    <t>besoin</t>
  </si>
  <si>
    <t>dons</t>
  </si>
  <si>
    <t>categorie</t>
  </si>
  <si>
    <t>besoinController</t>
  </si>
  <si>
    <t>besoinRepository</t>
  </si>
  <si>
    <t>form besoin</t>
  </si>
  <si>
    <t>affichage</t>
  </si>
  <si>
    <t>fonction</t>
  </si>
  <si>
    <t>controller</t>
  </si>
  <si>
    <t>Mandresy</t>
  </si>
  <si>
    <t>OK</t>
  </si>
  <si>
    <t>Miangaly</t>
  </si>
  <si>
    <t>donsController</t>
  </si>
  <si>
    <t>donsRepository</t>
  </si>
  <si>
    <t>formulaire_dons</t>
  </si>
  <si>
    <t>form dons</t>
  </si>
  <si>
    <t>stock</t>
  </si>
  <si>
    <t>stockController</t>
  </si>
  <si>
    <t>stockRepositoy</t>
  </si>
  <si>
    <t>formulaire_stock</t>
  </si>
  <si>
    <t>form stock</t>
  </si>
  <si>
    <t>dashboard v1</t>
  </si>
  <si>
    <t>affichage besoin/dons</t>
  </si>
  <si>
    <t>Tendry</t>
  </si>
  <si>
    <t>css</t>
  </si>
  <si>
    <t>achat</t>
  </si>
  <si>
    <t>AchatController</t>
  </si>
  <si>
    <t>AchatRepository</t>
  </si>
  <si>
    <t>vente</t>
  </si>
  <si>
    <t>VenteController</t>
  </si>
  <si>
    <t>VenteRepository</t>
  </si>
  <si>
    <t>Vente</t>
  </si>
  <si>
    <t>produit</t>
  </si>
  <si>
    <t>ProduitRepository</t>
  </si>
  <si>
    <t>ProduitController</t>
  </si>
  <si>
    <t>Controller</t>
  </si>
  <si>
    <t>CategorieController</t>
  </si>
  <si>
    <t>CategorieRepository</t>
  </si>
  <si>
    <t>ville</t>
  </si>
  <si>
    <t>VilleController</t>
  </si>
  <si>
    <t>VilleRepositoy</t>
  </si>
  <si>
    <t>recapitulation</t>
  </si>
  <si>
    <t>dashboard v2</t>
  </si>
  <si>
    <t>affichage achat</t>
  </si>
  <si>
    <t>formulaire_achat</t>
  </si>
  <si>
    <t>formulaire_besoin</t>
  </si>
  <si>
    <t>reintialiser</t>
  </si>
  <si>
    <t>design css</t>
  </si>
  <si>
    <t>database</t>
  </si>
  <si>
    <t>creation table</t>
  </si>
  <si>
    <t>donne</t>
  </si>
  <si>
    <t>table</t>
  </si>
  <si>
    <t>Tendry/Mandresy</t>
  </si>
  <si>
    <t>web</t>
  </si>
  <si>
    <t>DB</t>
  </si>
  <si>
    <t>Détails pou for Somme de Estimation - Qui : RAKOTO</t>
  </si>
  <si>
    <t>header</t>
  </si>
  <si>
    <t>footer</t>
  </si>
  <si>
    <t>header.php</t>
  </si>
  <si>
    <t>footer.php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</si>
</sst>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1" x14ac:knownFonts="1">
    <font>
      <sz val="12"/>
      <color theme="1"/>
      <name val="Aptos Narrow"/>
      <scheme val="minor"/>
    </font>
    <font>
      <b/>
      <sz val="12"/>
      <color theme="1"/>
      <name val="Arial"/>
      <family val="2"/>
    </font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rial"/>
      <family val="2"/>
    </font>
    <font>
      <b/>
      <sz val="12"/>
      <color theme="1"/>
      <name val="Aptos Narrow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ptos Narrow"/>
      <scheme val="minor"/>
    </font>
    <font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0" fontId="2" fillId="2" borderId="0" xfId="0" applyNumberFormat="1" applyFont="1" applyFill="1"/>
    <xf numFmtId="0" fontId="2" fillId="0" borderId="0" xfId="0" applyFont="1"/>
    <xf numFmtId="0" fontId="4" fillId="3" borderId="0" xfId="0" applyFont="1" applyFill="1"/>
    <xf numFmtId="0" fontId="5" fillId="3" borderId="1" xfId="0" applyFont="1" applyFill="1" applyBorder="1"/>
    <xf numFmtId="0" fontId="6" fillId="0" borderId="0" xfId="0" applyFont="1"/>
    <xf numFmtId="10" fontId="3" fillId="0" borderId="0" xfId="0" applyNumberFormat="1" applyFont="1"/>
    <xf numFmtId="9" fontId="3" fillId="0" borderId="0" xfId="0" applyNumberFormat="1" applyFont="1"/>
    <xf numFmtId="164" fontId="1" fillId="0" borderId="0" xfId="0" applyNumberFormat="1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7" fillId="0" borderId="0" xfId="0" applyFont="1"/>
    <xf numFmtId="0" fontId="8" fillId="0" borderId="1" xfId="0" applyFont="1" applyBorder="1"/>
    <xf numFmtId="0" fontId="9" fillId="0" borderId="1" xfId="0" applyFont="1" applyBorder="1"/>
    <xf numFmtId="0" fontId="10" fillId="0" borderId="0" xfId="0" applyFont="1"/>
    <xf numFmtId="10" fontId="8" fillId="0" borderId="1" xfId="0" applyNumberFormat="1" applyFon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IRS" refreshedDate="46070.632858217592" refreshedVersion="8" recordCount="19" xr:uid="{00000000-000A-0000-FFFF-FFFF00000000}">
  <cacheSource type="worksheet">
    <worksheetSource ref="C1:L20" sheet="liste des taches"/>
  </cacheSource>
  <cacheFields count="10">
    <cacheField name="Module" numFmtId="0">
      <sharedItems containsBlank="1"/>
    </cacheField>
    <cacheField name="Nom page" numFmtId="0">
      <sharedItems containsBlank="1"/>
    </cacheField>
    <cacheField name="Description" numFmtId="0">
      <sharedItems containsBlank="1"/>
    </cacheField>
    <cacheField name="Type" numFmtId="0">
      <sharedItems containsBlank="1"/>
    </cacheField>
    <cacheField name="Estimation" numFmtId="0">
      <sharedItems containsString="0" containsBlank="1" containsNumber="1" containsInteger="1" minValue="15" maxValue="45"/>
    </cacheField>
    <cacheField name="Temps passé" numFmtId="0">
      <sharedItems containsString="0" containsBlank="1" containsNumber="1" containsInteger="1" minValue="15" maxValue="40"/>
    </cacheField>
    <cacheField name="Reste à faire" numFmtId="0">
      <sharedItems containsSemiMixedTypes="0" containsString="0" containsNumber="1" containsInteger="1" minValue="0" maxValue="15"/>
    </cacheField>
    <cacheField name="Avancement" numFmtId="10">
      <sharedItems containsString="0" containsBlank="1" containsNumber="1" minValue="0.5" maxValue="1"/>
    </cacheField>
    <cacheField name="Qui" numFmtId="0">
      <sharedItems containsBlank="1" count="6">
        <s v="Mandresy"/>
        <s v="Miangaly"/>
        <m/>
        <s v="Tendry"/>
        <s v="RAKOTO" u="1"/>
        <s v="RASOA" u="1"/>
      </sharedItems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besoin"/>
    <s v="besoinController"/>
    <m/>
    <s v="controller"/>
    <n v="30"/>
    <n v="30"/>
    <n v="0"/>
    <n v="1"/>
    <x v="0"/>
    <s v="OK"/>
  </r>
  <r>
    <m/>
    <s v="besoinRepository"/>
    <m/>
    <s v="fonction"/>
    <n v="30"/>
    <n v="30"/>
    <n v="0"/>
    <n v="1"/>
    <x v="0"/>
    <s v="OK"/>
  </r>
  <r>
    <m/>
    <s v="formulaire_dons"/>
    <s v="form besoin"/>
    <s v="affichage"/>
    <n v="30"/>
    <n v="20"/>
    <n v="10"/>
    <n v="0.66666666666666663"/>
    <x v="1"/>
    <s v="OK"/>
  </r>
  <r>
    <m/>
    <m/>
    <m/>
    <m/>
    <m/>
    <m/>
    <n v="0"/>
    <m/>
    <x v="2"/>
    <m/>
  </r>
  <r>
    <s v="dons"/>
    <s v="donsController"/>
    <m/>
    <s v="controller"/>
    <n v="30"/>
    <n v="20"/>
    <n v="10"/>
    <n v="0.66666666666666663"/>
    <x v="0"/>
    <s v="OK"/>
  </r>
  <r>
    <m/>
    <s v="donsRepository"/>
    <m/>
    <s v="fonction"/>
    <n v="30"/>
    <n v="20"/>
    <n v="10"/>
    <n v="0.66666666666666663"/>
    <x v="0"/>
    <s v="OK"/>
  </r>
  <r>
    <m/>
    <s v="formulaire_dons"/>
    <s v="form dons"/>
    <s v="affichage"/>
    <n v="15"/>
    <n v="15"/>
    <n v="0"/>
    <n v="1"/>
    <x v="1"/>
    <s v="OK"/>
  </r>
  <r>
    <m/>
    <m/>
    <m/>
    <m/>
    <m/>
    <m/>
    <n v="0"/>
    <m/>
    <x v="2"/>
    <m/>
  </r>
  <r>
    <s v="stock"/>
    <s v="stockController"/>
    <m/>
    <s v="controller"/>
    <n v="30"/>
    <n v="20"/>
    <n v="10"/>
    <n v="0.66666666666666663"/>
    <x v="0"/>
    <s v="OK"/>
  </r>
  <r>
    <m/>
    <s v="stockRepositoy"/>
    <m/>
    <s v="fonction"/>
    <n v="45"/>
    <n v="40"/>
    <n v="5"/>
    <n v="0.88888888888888884"/>
    <x v="0"/>
    <s v="OK"/>
  </r>
  <r>
    <m/>
    <s v="formulaire_stock"/>
    <s v="form stock"/>
    <s v="affichage"/>
    <n v="20"/>
    <n v="15"/>
    <n v="5"/>
    <n v="0.75"/>
    <x v="1"/>
    <s v="OK"/>
  </r>
  <r>
    <m/>
    <m/>
    <m/>
    <m/>
    <m/>
    <m/>
    <n v="0"/>
    <m/>
    <x v="2"/>
    <m/>
  </r>
  <r>
    <s v="dashboard v1"/>
    <s v="dashboardController"/>
    <m/>
    <s v="controller"/>
    <n v="30"/>
    <n v="15"/>
    <n v="15"/>
    <n v="0.5"/>
    <x v="3"/>
    <s v="OK"/>
  </r>
  <r>
    <m/>
    <s v="dashboardRepository"/>
    <m/>
    <s v="fonction"/>
    <n v="45"/>
    <n v="35"/>
    <n v="10"/>
    <n v="0.77777777777777779"/>
    <x v="3"/>
    <s v="OK"/>
  </r>
  <r>
    <m/>
    <s v="dashboard"/>
    <s v="affichage besoin/dons"/>
    <s v="affichage"/>
    <n v="30"/>
    <n v="25"/>
    <n v="5"/>
    <n v="0.83333333333333337"/>
    <x v="3"/>
    <s v="OK"/>
  </r>
  <r>
    <m/>
    <m/>
    <m/>
    <m/>
    <m/>
    <m/>
    <n v="0"/>
    <m/>
    <x v="2"/>
    <m/>
  </r>
  <r>
    <s v="achat"/>
    <s v="AchatController"/>
    <m/>
    <s v="controller"/>
    <n v="30"/>
    <n v="20"/>
    <n v="10"/>
    <n v="0.66666666666666663"/>
    <x v="0"/>
    <s v="OK"/>
  </r>
  <r>
    <m/>
    <s v="AchatRepository"/>
    <m/>
    <s v="fonction"/>
    <n v="45"/>
    <n v="35"/>
    <n v="10"/>
    <n v="0.77777777777777779"/>
    <x v="0"/>
    <s v="OK"/>
  </r>
  <r>
    <m/>
    <s v="achat"/>
    <m/>
    <s v="affichage"/>
    <n v="30"/>
    <n v="20"/>
    <n v="10"/>
    <n v="0.66666666666666663"/>
    <x v="1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Recap" cacheId="24" applyNumberFormats="0" applyBorderFormats="0" applyFontFormats="0" applyPatternFormats="0" applyAlignmentFormats="0" applyWidthHeightFormats="0" dataCaption="" updatedVersion="8" compact="0" compactData="0">
  <location ref="A3:B8" firstHeaderRow="1" firstDataRow="1" firstDataCol="1"/>
  <pivotFields count="10">
    <pivotField name="Module" compact="0" outline="0" multipleItemSelectionAllowed="1" showAll="0"/>
    <pivotField name="Nom page" compact="0" outline="0" multipleItemSelectionAllowed="1" showAll="0"/>
    <pivotField name="Description" compact="0" outline="0" multipleItemSelectionAllowed="1" showAll="0"/>
    <pivotField name="Type" compact="0" outline="0" multipleItemSelectionAllowed="1" showAll="0"/>
    <pivotField name="Estimation" dataField="1" compact="0" outline="0" multipleItemSelectionAllowed="1" showAll="0"/>
    <pivotField name="Temps passé" compact="0" outline="0" multipleItemSelectionAllowed="1" showAll="0"/>
    <pivotField name="Reste à faire" compact="0" outline="0" multipleItemSelectionAllowed="1" showAll="0"/>
    <pivotField name="Avancement" compact="0" numFmtId="10" outline="0" multipleItemSelectionAllowed="1" showAll="0"/>
    <pivotField name="Qui" axis="axisRow" compact="0" outline="0" multipleItemSelectionAllowed="1" showAll="0" sortType="ascending">
      <items count="7">
        <item x="0"/>
        <item x="1"/>
        <item m="1" x="4"/>
        <item m="1" x="5"/>
        <item x="3"/>
        <item x="2"/>
        <item t="default"/>
      </items>
    </pivotField>
    <pivotField name="Status" compact="0" outline="0" multipleItemSelectionAllowed="1" showAll="0"/>
  </pivotFields>
  <rowFields count="1">
    <field x="8"/>
  </rowFields>
  <rowItems count="5">
    <i>
      <x/>
    </i>
    <i>
      <x v="1"/>
    </i>
    <i>
      <x v="4"/>
    </i>
    <i>
      <x v="5"/>
    </i>
    <i t="grand">
      <x/>
    </i>
  </rowItems>
  <colItems count="1">
    <i/>
  </colItems>
  <dataFields count="1">
    <dataField name="Somme de Estimation" fld="4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49DAA-46ED-0046-AF85-EC44718E41CD}" name="Tableau1" displayName="Tableau1" ref="A3:J7" totalsRowShown="0">
  <autoFilter ref="A3:J7" xr:uid="{88149DAA-46ED-0046-AF85-EC44718E41CD}"/>
  <tableColumns count="10">
    <tableColumn id="1" xr3:uid="{90A340EB-DA0E-A342-9B9D-ED9D407A52EA}" name="Module"/>
    <tableColumn id="2" xr3:uid="{791F46C9-D1FA-794B-816D-826578453F69}" name="Nom page"/>
    <tableColumn id="3" xr3:uid="{ECECA6FC-6E19-E14B-AE84-30B9381BCB0E}" name="Description"/>
    <tableColumn id="4" xr3:uid="{6F88C8A8-A129-3B4D-BF88-6B927446658A}" name="Type"/>
    <tableColumn id="5" xr3:uid="{5117695C-F8DA-554A-AF36-9A6C8B14343F}" name="Estimation"/>
    <tableColumn id="6" xr3:uid="{14D7A912-9C3A-684B-A931-714BB535E280}" name="Temps passé"/>
    <tableColumn id="7" xr3:uid="{3C65524B-C814-3C46-8CD9-88A7688D92D8}" name="Reste à faire"/>
    <tableColumn id="8" xr3:uid="{AE4BB4CD-8D55-0C43-988A-62EC18270DAD}" name="Avancement"/>
    <tableColumn id="9" xr3:uid="{F64874D6-4B98-1F47-99D0-146B6AA9E711}" name="Qui"/>
    <tableColumn id="10" xr3:uid="{EB3DDCDF-BE65-6C46-8589-5A67D738990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3996A-207A-B04A-97CF-33C8FF994291}">
  <dimension ref="A1:J7"/>
  <sheetViews>
    <sheetView zoomScale="101" workbookViewId="0">
      <selection activeCell="H22" sqref="H22"/>
    </sheetView>
  </sheetViews>
  <sheetFormatPr baseColWidth="10" defaultRowHeight="16" x14ac:dyDescent="0.2"/>
  <cols>
    <col min="1" max="1" width="11" bestFit="1" customWidth="1"/>
    <col min="2" max="2" width="18" bestFit="1" customWidth="1"/>
    <col min="3" max="3" width="18.33203125" bestFit="1" customWidth="1"/>
    <col min="4" max="4" width="14.33203125" bestFit="1" customWidth="1"/>
    <col min="5" max="5" width="12.6640625" bestFit="1" customWidth="1"/>
    <col min="6" max="6" width="14.5" bestFit="1" customWidth="1"/>
    <col min="7" max="8" width="14" bestFit="1" customWidth="1"/>
    <col min="9" max="10" width="11" bestFit="1" customWidth="1"/>
  </cols>
  <sheetData>
    <row r="1" spans="1:10" x14ac:dyDescent="0.2">
      <c r="A1" s="18" t="s">
        <v>90</v>
      </c>
    </row>
    <row r="3" spans="1:10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0</v>
      </c>
      <c r="I3" t="s">
        <v>1</v>
      </c>
      <c r="J3" t="s">
        <v>14</v>
      </c>
    </row>
    <row r="4" spans="1:10" x14ac:dyDescent="0.2">
      <c r="A4" t="s">
        <v>15</v>
      </c>
      <c r="B4" t="s">
        <v>16</v>
      </c>
      <c r="C4" t="s">
        <v>17</v>
      </c>
      <c r="D4" t="s">
        <v>18</v>
      </c>
      <c r="E4">
        <v>30</v>
      </c>
      <c r="F4">
        <v>20</v>
      </c>
      <c r="G4">
        <v>10</v>
      </c>
      <c r="H4">
        <v>0.66666666666666663</v>
      </c>
      <c r="I4" t="s">
        <v>3</v>
      </c>
    </row>
    <row r="5" spans="1:10" x14ac:dyDescent="0.2">
      <c r="A5" t="s">
        <v>15</v>
      </c>
      <c r="B5" t="s">
        <v>16</v>
      </c>
      <c r="C5" t="s">
        <v>19</v>
      </c>
      <c r="D5" t="s">
        <v>18</v>
      </c>
      <c r="E5">
        <v>30</v>
      </c>
      <c r="F5">
        <v>0</v>
      </c>
      <c r="G5">
        <v>30</v>
      </c>
      <c r="H5">
        <v>0</v>
      </c>
      <c r="I5" t="s">
        <v>3</v>
      </c>
    </row>
    <row r="6" spans="1:10" x14ac:dyDescent="0.2">
      <c r="A6" t="s">
        <v>24</v>
      </c>
      <c r="E6">
        <v>180</v>
      </c>
      <c r="F6">
        <v>0</v>
      </c>
      <c r="G6">
        <v>180</v>
      </c>
      <c r="H6">
        <v>0</v>
      </c>
      <c r="I6" t="s">
        <v>3</v>
      </c>
    </row>
    <row r="7" spans="1:10" x14ac:dyDescent="0.2">
      <c r="A7" t="s">
        <v>15</v>
      </c>
      <c r="B7" t="s">
        <v>21</v>
      </c>
      <c r="C7" t="s">
        <v>22</v>
      </c>
      <c r="D7" t="s">
        <v>23</v>
      </c>
      <c r="E7">
        <v>30</v>
      </c>
      <c r="F7">
        <v>0</v>
      </c>
      <c r="G7">
        <v>30</v>
      </c>
      <c r="H7">
        <v>0</v>
      </c>
      <c r="I7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zoomScale="170" workbookViewId="0">
      <selection activeCell="B4" sqref="B4"/>
    </sheetView>
  </sheetViews>
  <sheetFormatPr baseColWidth="10" defaultColWidth="11.1640625" defaultRowHeight="15" customHeight="1" x14ac:dyDescent="0.2"/>
  <cols>
    <col min="1" max="1" width="20" customWidth="1"/>
    <col min="2" max="2" width="19.5" customWidth="1"/>
    <col min="3" max="26" width="10.5" customWidth="1"/>
  </cols>
  <sheetData>
    <row r="1" spans="1:2" ht="15.75" customHeight="1" x14ac:dyDescent="0.2">
      <c r="A1" s="1" t="s">
        <v>0</v>
      </c>
      <c r="B1" s="2">
        <f>'avancement projet'!D2</f>
        <v>0.75694444444444442</v>
      </c>
    </row>
    <row r="2" spans="1:2" ht="15.75" customHeight="1" x14ac:dyDescent="0.2"/>
    <row r="3" spans="1:2" ht="15.75" customHeight="1" x14ac:dyDescent="0.2">
      <c r="A3" s="10" t="s">
        <v>1</v>
      </c>
      <c r="B3" s="11" t="s">
        <v>2</v>
      </c>
    </row>
    <row r="4" spans="1:2" ht="15.75" customHeight="1" x14ac:dyDescent="0.2">
      <c r="A4" s="12" t="s">
        <v>44</v>
      </c>
      <c r="B4" s="20">
        <v>270</v>
      </c>
    </row>
    <row r="5" spans="1:2" ht="15.75" customHeight="1" x14ac:dyDescent="0.2">
      <c r="A5" s="13" t="s">
        <v>46</v>
      </c>
      <c r="B5" s="21">
        <v>95</v>
      </c>
    </row>
    <row r="6" spans="1:2" ht="15.75" customHeight="1" x14ac:dyDescent="0.2">
      <c r="A6" s="13" t="s">
        <v>58</v>
      </c>
      <c r="B6" s="21">
        <v>105</v>
      </c>
    </row>
    <row r="7" spans="1:2" ht="15.75" customHeight="1" x14ac:dyDescent="0.2">
      <c r="A7" s="13" t="s">
        <v>32</v>
      </c>
      <c r="B7" s="21"/>
    </row>
    <row r="8" spans="1:2" ht="15.75" customHeight="1" x14ac:dyDescent="0.2">
      <c r="A8" s="14" t="s">
        <v>4</v>
      </c>
      <c r="B8" s="22">
        <v>470</v>
      </c>
    </row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abSelected="1" topLeftCell="C27" zoomScale="125" zoomScaleNormal="141" workbookViewId="0">
      <selection activeCell="N32" sqref="N32"/>
    </sheetView>
  </sheetViews>
  <sheetFormatPr baseColWidth="10" defaultColWidth="11.1640625" defaultRowHeight="15" customHeight="1" x14ac:dyDescent="0.2"/>
  <cols>
    <col min="1" max="1" width="8.6640625" customWidth="1"/>
    <col min="2" max="2" width="13.1640625" customWidth="1"/>
    <col min="3" max="3" width="8.6640625" customWidth="1"/>
    <col min="4" max="4" width="18" customWidth="1"/>
    <col min="5" max="5" width="19.5" customWidth="1"/>
    <col min="6" max="6" width="15.1640625" customWidth="1"/>
    <col min="7" max="7" width="10.5" customWidth="1"/>
    <col min="8" max="10" width="12" customWidth="1"/>
    <col min="11" max="11" width="16" customWidth="1"/>
    <col min="12" max="28" width="10.5" customWidth="1"/>
  </cols>
  <sheetData>
    <row r="1" spans="1:12" ht="15.75" customHeight="1" x14ac:dyDescent="0.2">
      <c r="A1" s="4" t="s">
        <v>5</v>
      </c>
      <c r="B1" s="4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0</v>
      </c>
      <c r="K1" s="5" t="s">
        <v>1</v>
      </c>
      <c r="L1" s="5" t="s">
        <v>14</v>
      </c>
    </row>
    <row r="2" spans="1:12" ht="15.75" customHeight="1" x14ac:dyDescent="0.2">
      <c r="A2" s="16"/>
      <c r="B2" s="17" t="s">
        <v>88</v>
      </c>
      <c r="C2" s="16" t="s">
        <v>35</v>
      </c>
      <c r="D2" s="16" t="s">
        <v>38</v>
      </c>
      <c r="E2" s="16"/>
      <c r="F2" s="16" t="s">
        <v>43</v>
      </c>
      <c r="G2" s="16">
        <v>30</v>
      </c>
      <c r="H2" s="16">
        <v>30</v>
      </c>
      <c r="I2" s="16">
        <f>G2-H2</f>
        <v>0</v>
      </c>
      <c r="J2" s="19">
        <f>(H2/(H2+I2))</f>
        <v>1</v>
      </c>
      <c r="K2" s="16" t="s">
        <v>44</v>
      </c>
      <c r="L2" s="16" t="s">
        <v>45</v>
      </c>
    </row>
    <row r="3" spans="1:12" ht="15.75" customHeight="1" x14ac:dyDescent="0.2">
      <c r="A3" s="16"/>
      <c r="B3" s="17" t="s">
        <v>88</v>
      </c>
      <c r="C3" s="16"/>
      <c r="D3" s="16" t="s">
        <v>39</v>
      </c>
      <c r="E3" s="16"/>
      <c r="F3" s="16" t="s">
        <v>42</v>
      </c>
      <c r="G3" s="16">
        <v>30</v>
      </c>
      <c r="H3" s="16">
        <v>30</v>
      </c>
      <c r="I3" s="16">
        <f t="shared" ref="I3:I50" si="0">G3-H3</f>
        <v>0</v>
      </c>
      <c r="J3" s="19">
        <f t="shared" ref="J3:J54" si="1">(H3/(H3+I3))</f>
        <v>1</v>
      </c>
      <c r="K3" s="16" t="s">
        <v>44</v>
      </c>
      <c r="L3" s="16" t="s">
        <v>45</v>
      </c>
    </row>
    <row r="4" spans="1:12" ht="15.75" customHeight="1" x14ac:dyDescent="0.2">
      <c r="A4" s="16"/>
      <c r="B4" s="17" t="s">
        <v>88</v>
      </c>
      <c r="C4" s="16"/>
      <c r="D4" s="16" t="s">
        <v>49</v>
      </c>
      <c r="E4" s="16" t="s">
        <v>40</v>
      </c>
      <c r="F4" s="16" t="s">
        <v>41</v>
      </c>
      <c r="G4" s="16">
        <v>30</v>
      </c>
      <c r="H4" s="16">
        <v>20</v>
      </c>
      <c r="I4" s="16">
        <f t="shared" si="0"/>
        <v>10</v>
      </c>
      <c r="J4" s="19">
        <f t="shared" si="1"/>
        <v>0.66666666666666663</v>
      </c>
      <c r="K4" s="16" t="s">
        <v>46</v>
      </c>
      <c r="L4" s="16" t="s">
        <v>45</v>
      </c>
    </row>
    <row r="5" spans="1:12" ht="15.75" customHeight="1" x14ac:dyDescent="0.2">
      <c r="A5" s="16"/>
      <c r="B5" s="17"/>
      <c r="C5" s="16"/>
      <c r="D5" s="16"/>
      <c r="E5" s="16"/>
      <c r="F5" s="16"/>
      <c r="G5" s="16"/>
      <c r="H5" s="16"/>
      <c r="I5" s="16">
        <f t="shared" si="0"/>
        <v>0</v>
      </c>
      <c r="J5" s="19"/>
      <c r="K5" s="16"/>
      <c r="L5" s="16"/>
    </row>
    <row r="6" spans="1:12" ht="15.75" customHeight="1" x14ac:dyDescent="0.2">
      <c r="A6" s="16"/>
      <c r="B6" s="17" t="s">
        <v>88</v>
      </c>
      <c r="C6" s="16" t="s">
        <v>36</v>
      </c>
      <c r="D6" s="16" t="s">
        <v>47</v>
      </c>
      <c r="E6" s="16"/>
      <c r="F6" s="16" t="s">
        <v>43</v>
      </c>
      <c r="G6" s="16">
        <v>30</v>
      </c>
      <c r="H6" s="16">
        <v>20</v>
      </c>
      <c r="I6" s="16">
        <f t="shared" si="0"/>
        <v>10</v>
      </c>
      <c r="J6" s="19">
        <f t="shared" si="1"/>
        <v>0.66666666666666663</v>
      </c>
      <c r="K6" s="16" t="s">
        <v>44</v>
      </c>
      <c r="L6" s="16" t="s">
        <v>45</v>
      </c>
    </row>
    <row r="7" spans="1:12" ht="15.75" customHeight="1" x14ac:dyDescent="0.2">
      <c r="A7" s="16"/>
      <c r="B7" s="17" t="s">
        <v>88</v>
      </c>
      <c r="C7" s="16"/>
      <c r="D7" s="16" t="s">
        <v>48</v>
      </c>
      <c r="E7" s="16"/>
      <c r="F7" s="16" t="s">
        <v>42</v>
      </c>
      <c r="G7" s="16">
        <v>30</v>
      </c>
      <c r="H7" s="16">
        <v>20</v>
      </c>
      <c r="I7" s="16">
        <f t="shared" si="0"/>
        <v>10</v>
      </c>
      <c r="J7" s="19">
        <f t="shared" si="1"/>
        <v>0.66666666666666663</v>
      </c>
      <c r="K7" s="16" t="s">
        <v>44</v>
      </c>
      <c r="L7" s="16" t="s">
        <v>45</v>
      </c>
    </row>
    <row r="8" spans="1:12" ht="15.75" customHeight="1" x14ac:dyDescent="0.2">
      <c r="A8" s="16"/>
      <c r="B8" s="17" t="s">
        <v>88</v>
      </c>
      <c r="C8" s="16"/>
      <c r="D8" s="16" t="s">
        <v>49</v>
      </c>
      <c r="E8" s="16" t="s">
        <v>50</v>
      </c>
      <c r="F8" s="16" t="s">
        <v>41</v>
      </c>
      <c r="G8" s="16">
        <v>15</v>
      </c>
      <c r="H8" s="16">
        <v>15</v>
      </c>
      <c r="I8" s="16">
        <f t="shared" si="0"/>
        <v>0</v>
      </c>
      <c r="J8" s="19">
        <f t="shared" si="1"/>
        <v>1</v>
      </c>
      <c r="K8" s="16" t="s">
        <v>46</v>
      </c>
      <c r="L8" s="16" t="s">
        <v>45</v>
      </c>
    </row>
    <row r="9" spans="1:12" ht="15.75" customHeight="1" x14ac:dyDescent="0.2">
      <c r="A9" s="16"/>
      <c r="B9" s="17"/>
      <c r="C9" s="16"/>
      <c r="D9" s="16"/>
      <c r="E9" s="16"/>
      <c r="F9" s="16"/>
      <c r="G9" s="16"/>
      <c r="H9" s="16"/>
      <c r="I9" s="16">
        <f t="shared" si="0"/>
        <v>0</v>
      </c>
      <c r="J9" s="19"/>
      <c r="K9" s="16"/>
      <c r="L9" s="16"/>
    </row>
    <row r="10" spans="1:12" ht="15.75" customHeight="1" x14ac:dyDescent="0.2">
      <c r="A10" s="16"/>
      <c r="B10" s="17" t="s">
        <v>88</v>
      </c>
      <c r="C10" s="16" t="s">
        <v>51</v>
      </c>
      <c r="D10" s="16" t="s">
        <v>52</v>
      </c>
      <c r="E10" s="16"/>
      <c r="F10" s="16" t="s">
        <v>43</v>
      </c>
      <c r="G10" s="16">
        <v>30</v>
      </c>
      <c r="H10" s="16">
        <v>20</v>
      </c>
      <c r="I10" s="16">
        <f t="shared" si="0"/>
        <v>10</v>
      </c>
      <c r="J10" s="19">
        <f t="shared" si="1"/>
        <v>0.66666666666666663</v>
      </c>
      <c r="K10" s="16" t="s">
        <v>44</v>
      </c>
      <c r="L10" s="16" t="s">
        <v>45</v>
      </c>
    </row>
    <row r="11" spans="1:12" ht="15.75" customHeight="1" x14ac:dyDescent="0.2">
      <c r="A11" s="16"/>
      <c r="B11" s="17" t="s">
        <v>88</v>
      </c>
      <c r="C11" s="16"/>
      <c r="D11" s="16" t="s">
        <v>53</v>
      </c>
      <c r="E11" s="16"/>
      <c r="F11" s="16" t="s">
        <v>42</v>
      </c>
      <c r="G11" s="16">
        <v>45</v>
      </c>
      <c r="H11" s="16">
        <v>40</v>
      </c>
      <c r="I11" s="16">
        <f t="shared" si="0"/>
        <v>5</v>
      </c>
      <c r="J11" s="19">
        <f t="shared" si="1"/>
        <v>0.88888888888888884</v>
      </c>
      <c r="K11" s="16" t="s">
        <v>44</v>
      </c>
      <c r="L11" s="16" t="s">
        <v>45</v>
      </c>
    </row>
    <row r="12" spans="1:12" ht="15.75" customHeight="1" x14ac:dyDescent="0.2">
      <c r="A12" s="16"/>
      <c r="B12" s="17" t="s">
        <v>88</v>
      </c>
      <c r="C12" s="16"/>
      <c r="D12" s="16" t="s">
        <v>54</v>
      </c>
      <c r="E12" s="16" t="s">
        <v>55</v>
      </c>
      <c r="F12" s="16" t="s">
        <v>41</v>
      </c>
      <c r="G12" s="16">
        <v>20</v>
      </c>
      <c r="H12" s="16">
        <v>15</v>
      </c>
      <c r="I12" s="16">
        <f t="shared" si="0"/>
        <v>5</v>
      </c>
      <c r="J12" s="19">
        <f t="shared" si="1"/>
        <v>0.75</v>
      </c>
      <c r="K12" s="16" t="s">
        <v>46</v>
      </c>
      <c r="L12" s="16" t="s">
        <v>45</v>
      </c>
    </row>
    <row r="13" spans="1:12" ht="15.75" customHeight="1" x14ac:dyDescent="0.2">
      <c r="A13" s="16"/>
      <c r="B13" s="17"/>
      <c r="C13" s="16"/>
      <c r="D13" s="16"/>
      <c r="E13" s="16"/>
      <c r="F13" s="16"/>
      <c r="G13" s="16"/>
      <c r="H13" s="16"/>
      <c r="I13" s="16">
        <f t="shared" si="0"/>
        <v>0</v>
      </c>
      <c r="J13" s="19"/>
      <c r="K13" s="16"/>
      <c r="L13" s="16"/>
    </row>
    <row r="14" spans="1:12" ht="15.75" customHeight="1" x14ac:dyDescent="0.2">
      <c r="A14" s="16"/>
      <c r="B14" s="17" t="s">
        <v>88</v>
      </c>
      <c r="C14" s="16" t="s">
        <v>56</v>
      </c>
      <c r="D14" s="16" t="s">
        <v>34</v>
      </c>
      <c r="E14" s="16"/>
      <c r="F14" s="16" t="s">
        <v>43</v>
      </c>
      <c r="G14" s="16">
        <v>30</v>
      </c>
      <c r="H14" s="16">
        <v>15</v>
      </c>
      <c r="I14" s="16">
        <f t="shared" si="0"/>
        <v>15</v>
      </c>
      <c r="J14" s="19">
        <f t="shared" si="1"/>
        <v>0.5</v>
      </c>
      <c r="K14" s="16" t="s">
        <v>58</v>
      </c>
      <c r="L14" s="16" t="s">
        <v>45</v>
      </c>
    </row>
    <row r="15" spans="1:12" ht="15.75" customHeight="1" x14ac:dyDescent="0.2">
      <c r="A15" s="16"/>
      <c r="B15" s="17" t="s">
        <v>88</v>
      </c>
      <c r="C15" s="16"/>
      <c r="D15" s="16" t="s">
        <v>33</v>
      </c>
      <c r="E15" s="16"/>
      <c r="F15" s="16" t="s">
        <v>42</v>
      </c>
      <c r="G15" s="16">
        <v>45</v>
      </c>
      <c r="H15" s="16">
        <v>35</v>
      </c>
      <c r="I15" s="16">
        <f t="shared" si="0"/>
        <v>10</v>
      </c>
      <c r="J15" s="19">
        <f t="shared" si="1"/>
        <v>0.77777777777777779</v>
      </c>
      <c r="K15" s="16" t="s">
        <v>58</v>
      </c>
      <c r="L15" s="16" t="s">
        <v>45</v>
      </c>
    </row>
    <row r="16" spans="1:12" ht="15.75" customHeight="1" x14ac:dyDescent="0.2">
      <c r="A16" s="16"/>
      <c r="B16" s="17" t="s">
        <v>88</v>
      </c>
      <c r="C16" s="16"/>
      <c r="D16" s="16" t="s">
        <v>24</v>
      </c>
      <c r="E16" s="16" t="s">
        <v>57</v>
      </c>
      <c r="F16" s="16" t="s">
        <v>41</v>
      </c>
      <c r="G16" s="16">
        <v>30</v>
      </c>
      <c r="H16" s="16">
        <v>25</v>
      </c>
      <c r="I16" s="16">
        <f t="shared" si="0"/>
        <v>5</v>
      </c>
      <c r="J16" s="19">
        <f t="shared" si="1"/>
        <v>0.83333333333333337</v>
      </c>
      <c r="K16" s="16" t="s">
        <v>58</v>
      </c>
      <c r="L16" s="16" t="s">
        <v>45</v>
      </c>
    </row>
    <row r="17" spans="1:12" ht="15.75" customHeight="1" x14ac:dyDescent="0.2">
      <c r="A17" s="16"/>
      <c r="B17" s="17"/>
      <c r="C17" s="16"/>
      <c r="D17" s="16"/>
      <c r="E17" s="16"/>
      <c r="F17" s="16"/>
      <c r="G17" s="16"/>
      <c r="H17" s="16"/>
      <c r="I17" s="16">
        <f t="shared" si="0"/>
        <v>0</v>
      </c>
      <c r="J17" s="19"/>
      <c r="K17" s="16"/>
      <c r="L17" s="16"/>
    </row>
    <row r="18" spans="1:12" ht="15.75" customHeight="1" x14ac:dyDescent="0.2">
      <c r="A18" s="16"/>
      <c r="B18" s="17" t="s">
        <v>88</v>
      </c>
      <c r="C18" s="16" t="s">
        <v>60</v>
      </c>
      <c r="D18" s="16" t="s">
        <v>61</v>
      </c>
      <c r="E18" s="16"/>
      <c r="F18" s="16" t="s">
        <v>43</v>
      </c>
      <c r="G18" s="16">
        <v>30</v>
      </c>
      <c r="H18" s="16">
        <v>20</v>
      </c>
      <c r="I18" s="16">
        <f t="shared" si="0"/>
        <v>10</v>
      </c>
      <c r="J18" s="19">
        <f t="shared" si="1"/>
        <v>0.66666666666666663</v>
      </c>
      <c r="K18" s="16" t="s">
        <v>44</v>
      </c>
      <c r="L18" s="16" t="s">
        <v>45</v>
      </c>
    </row>
    <row r="19" spans="1:12" ht="15.75" customHeight="1" x14ac:dyDescent="0.2">
      <c r="A19" s="16"/>
      <c r="B19" s="17" t="s">
        <v>88</v>
      </c>
      <c r="C19" s="16"/>
      <c r="D19" s="16" t="s">
        <v>62</v>
      </c>
      <c r="E19" s="16"/>
      <c r="F19" s="16" t="s">
        <v>42</v>
      </c>
      <c r="G19" s="16">
        <v>45</v>
      </c>
      <c r="H19" s="16">
        <v>35</v>
      </c>
      <c r="I19" s="16">
        <f t="shared" si="0"/>
        <v>10</v>
      </c>
      <c r="J19" s="19">
        <f t="shared" si="1"/>
        <v>0.77777777777777779</v>
      </c>
      <c r="K19" s="16" t="s">
        <v>44</v>
      </c>
      <c r="L19" s="16" t="s">
        <v>45</v>
      </c>
    </row>
    <row r="20" spans="1:12" ht="15.75" customHeight="1" x14ac:dyDescent="0.2">
      <c r="A20" s="16"/>
      <c r="B20" s="17" t="s">
        <v>88</v>
      </c>
      <c r="C20" s="16"/>
      <c r="D20" s="16" t="s">
        <v>60</v>
      </c>
      <c r="E20" s="16"/>
      <c r="F20" s="16" t="s">
        <v>41</v>
      </c>
      <c r="G20" s="16">
        <v>30</v>
      </c>
      <c r="H20" s="16">
        <v>20</v>
      </c>
      <c r="I20" s="16">
        <f t="shared" si="0"/>
        <v>10</v>
      </c>
      <c r="J20" s="19">
        <f t="shared" si="1"/>
        <v>0.66666666666666663</v>
      </c>
      <c r="K20" s="16" t="s">
        <v>46</v>
      </c>
      <c r="L20" s="16" t="s">
        <v>45</v>
      </c>
    </row>
    <row r="21" spans="1:12" ht="15.75" customHeight="1" x14ac:dyDescent="0.2">
      <c r="A21" s="16"/>
      <c r="B21" s="17"/>
      <c r="C21" s="16"/>
      <c r="D21" s="16"/>
      <c r="E21" s="16"/>
      <c r="F21" s="16"/>
      <c r="G21" s="16"/>
      <c r="H21" s="16"/>
      <c r="I21" s="16">
        <f t="shared" si="0"/>
        <v>0</v>
      </c>
      <c r="J21" s="19"/>
      <c r="K21" s="16"/>
      <c r="L21" s="16"/>
    </row>
    <row r="22" spans="1:12" ht="15.75" customHeight="1" x14ac:dyDescent="0.2">
      <c r="A22" s="16"/>
      <c r="B22" s="17"/>
      <c r="C22" s="16"/>
      <c r="D22" s="16"/>
      <c r="E22" s="16"/>
      <c r="F22" s="16"/>
      <c r="G22" s="16"/>
      <c r="H22" s="16"/>
      <c r="I22" s="16">
        <f t="shared" si="0"/>
        <v>0</v>
      </c>
      <c r="J22" s="19"/>
      <c r="K22" s="16"/>
      <c r="L22" s="16"/>
    </row>
    <row r="23" spans="1:12" ht="15.75" customHeight="1" x14ac:dyDescent="0.2">
      <c r="A23" s="16"/>
      <c r="B23" s="17" t="s">
        <v>88</v>
      </c>
      <c r="C23" s="16" t="s">
        <v>67</v>
      </c>
      <c r="D23" s="16" t="s">
        <v>69</v>
      </c>
      <c r="E23" s="16"/>
      <c r="F23" s="16" t="s">
        <v>70</v>
      </c>
      <c r="G23" s="16">
        <v>30</v>
      </c>
      <c r="H23" s="16">
        <v>20</v>
      </c>
      <c r="I23" s="16">
        <f t="shared" si="0"/>
        <v>10</v>
      </c>
      <c r="J23" s="19">
        <f t="shared" si="1"/>
        <v>0.66666666666666663</v>
      </c>
      <c r="K23" s="16" t="s">
        <v>58</v>
      </c>
      <c r="L23" s="16" t="s">
        <v>45</v>
      </c>
    </row>
    <row r="24" spans="1:12" ht="15.75" customHeight="1" x14ac:dyDescent="0.2">
      <c r="A24" s="16"/>
      <c r="B24" s="17" t="s">
        <v>88</v>
      </c>
      <c r="C24" s="16"/>
      <c r="D24" s="16" t="s">
        <v>68</v>
      </c>
      <c r="E24" s="16"/>
      <c r="F24" s="16" t="s">
        <v>20</v>
      </c>
      <c r="G24" s="16">
        <v>30</v>
      </c>
      <c r="H24" s="16">
        <v>20</v>
      </c>
      <c r="I24" s="16">
        <f t="shared" si="0"/>
        <v>10</v>
      </c>
      <c r="J24" s="19">
        <f t="shared" si="1"/>
        <v>0.66666666666666663</v>
      </c>
      <c r="K24" s="16" t="s">
        <v>44</v>
      </c>
      <c r="L24" s="16" t="s">
        <v>45</v>
      </c>
    </row>
    <row r="25" spans="1:12" ht="15.75" customHeight="1" x14ac:dyDescent="0.2">
      <c r="A25" s="16"/>
      <c r="B25" s="17"/>
      <c r="C25" s="16"/>
      <c r="D25" s="16"/>
      <c r="E25" s="16"/>
      <c r="F25" s="16"/>
      <c r="G25" s="16"/>
      <c r="H25" s="16"/>
      <c r="I25" s="16">
        <f t="shared" si="0"/>
        <v>0</v>
      </c>
      <c r="J25" s="19"/>
      <c r="K25" s="16"/>
      <c r="L25" s="16"/>
    </row>
    <row r="26" spans="1:12" ht="15.75" customHeight="1" x14ac:dyDescent="0.2">
      <c r="A26" s="16"/>
      <c r="B26" s="17" t="s">
        <v>88</v>
      </c>
      <c r="C26" s="16" t="s">
        <v>37</v>
      </c>
      <c r="D26" s="16" t="s">
        <v>71</v>
      </c>
      <c r="E26" s="16"/>
      <c r="F26" s="16" t="s">
        <v>43</v>
      </c>
      <c r="G26" s="16">
        <v>30</v>
      </c>
      <c r="H26" s="16">
        <v>20</v>
      </c>
      <c r="I26" s="16">
        <f t="shared" si="0"/>
        <v>10</v>
      </c>
      <c r="J26" s="19">
        <f t="shared" si="1"/>
        <v>0.66666666666666663</v>
      </c>
      <c r="K26" s="16" t="s">
        <v>46</v>
      </c>
      <c r="L26" s="16" t="s">
        <v>45</v>
      </c>
    </row>
    <row r="27" spans="1:12" ht="15.75" customHeight="1" x14ac:dyDescent="0.2">
      <c r="A27" s="16"/>
      <c r="B27" s="17" t="s">
        <v>88</v>
      </c>
      <c r="C27" s="16"/>
      <c r="D27" s="16" t="s">
        <v>72</v>
      </c>
      <c r="E27" s="16"/>
      <c r="F27" s="16" t="s">
        <v>42</v>
      </c>
      <c r="G27" s="16">
        <v>30</v>
      </c>
      <c r="H27" s="16">
        <v>20</v>
      </c>
      <c r="I27" s="16">
        <f t="shared" si="0"/>
        <v>10</v>
      </c>
      <c r="J27" s="19">
        <f t="shared" si="1"/>
        <v>0.66666666666666663</v>
      </c>
      <c r="K27" s="16" t="s">
        <v>44</v>
      </c>
      <c r="L27" s="16" t="s">
        <v>45</v>
      </c>
    </row>
    <row r="28" spans="1:12" ht="15.75" customHeight="1" x14ac:dyDescent="0.2">
      <c r="A28" s="16"/>
      <c r="B28" s="17"/>
      <c r="C28" s="16"/>
      <c r="D28" s="16"/>
      <c r="E28" s="16"/>
      <c r="F28" s="16"/>
      <c r="G28" s="16"/>
      <c r="H28" s="16"/>
      <c r="I28" s="16">
        <f t="shared" si="0"/>
        <v>0</v>
      </c>
      <c r="J28" s="19"/>
      <c r="K28" s="16"/>
      <c r="L28" s="16"/>
    </row>
    <row r="29" spans="1:12" ht="15.75" customHeight="1" x14ac:dyDescent="0.2">
      <c r="A29" s="16"/>
      <c r="B29" s="17" t="s">
        <v>88</v>
      </c>
      <c r="C29" s="16" t="s">
        <v>73</v>
      </c>
      <c r="D29" s="16" t="s">
        <v>74</v>
      </c>
      <c r="E29" s="16"/>
      <c r="F29" s="16" t="s">
        <v>43</v>
      </c>
      <c r="G29" s="16">
        <v>30</v>
      </c>
      <c r="H29" s="16">
        <v>20</v>
      </c>
      <c r="I29" s="16">
        <f t="shared" si="0"/>
        <v>10</v>
      </c>
      <c r="J29" s="19">
        <f t="shared" si="1"/>
        <v>0.66666666666666663</v>
      </c>
      <c r="K29" s="16" t="s">
        <v>58</v>
      </c>
      <c r="L29" s="16" t="s">
        <v>45</v>
      </c>
    </row>
    <row r="30" spans="1:12" ht="15.75" customHeight="1" x14ac:dyDescent="0.2">
      <c r="A30" s="16"/>
      <c r="B30" s="17" t="s">
        <v>88</v>
      </c>
      <c r="C30" s="16"/>
      <c r="D30" s="16" t="s">
        <v>75</v>
      </c>
      <c r="E30" s="16"/>
      <c r="F30" s="16" t="s">
        <v>42</v>
      </c>
      <c r="G30" s="16">
        <v>30</v>
      </c>
      <c r="H30" s="16">
        <v>15</v>
      </c>
      <c r="I30" s="16">
        <f t="shared" si="0"/>
        <v>15</v>
      </c>
      <c r="J30" s="19">
        <f t="shared" si="1"/>
        <v>0.5</v>
      </c>
      <c r="K30" s="16" t="s">
        <v>46</v>
      </c>
      <c r="L30" s="16" t="s">
        <v>45</v>
      </c>
    </row>
    <row r="31" spans="1:12" ht="15.75" customHeight="1" x14ac:dyDescent="0.2">
      <c r="A31" s="16"/>
      <c r="B31" s="17"/>
      <c r="C31" s="16"/>
      <c r="D31" s="16"/>
      <c r="E31" s="16"/>
      <c r="F31" s="16"/>
      <c r="G31" s="16"/>
      <c r="H31" s="16"/>
      <c r="I31" s="16">
        <f t="shared" si="0"/>
        <v>0</v>
      </c>
      <c r="J31" s="19"/>
      <c r="K31" s="16"/>
      <c r="L31" s="16"/>
    </row>
    <row r="32" spans="1:12" ht="15.75" customHeight="1" x14ac:dyDescent="0.2">
      <c r="A32" s="16"/>
      <c r="B32" s="17" t="s">
        <v>88</v>
      </c>
      <c r="C32" s="16" t="s">
        <v>77</v>
      </c>
      <c r="D32" s="16" t="s">
        <v>34</v>
      </c>
      <c r="E32" s="16"/>
      <c r="F32" s="16" t="s">
        <v>43</v>
      </c>
      <c r="G32" s="16">
        <v>30</v>
      </c>
      <c r="H32" s="16">
        <v>20</v>
      </c>
      <c r="I32" s="16">
        <f t="shared" si="0"/>
        <v>10</v>
      </c>
      <c r="J32" s="19">
        <f t="shared" si="1"/>
        <v>0.66666666666666663</v>
      </c>
      <c r="K32" s="16" t="s">
        <v>58</v>
      </c>
      <c r="L32" s="16" t="s">
        <v>45</v>
      </c>
    </row>
    <row r="33" spans="1:12" ht="15.75" customHeight="1" x14ac:dyDescent="0.2">
      <c r="A33" s="16"/>
      <c r="B33" s="17" t="s">
        <v>88</v>
      </c>
      <c r="C33" s="16"/>
      <c r="D33" s="16" t="s">
        <v>33</v>
      </c>
      <c r="E33" s="16"/>
      <c r="F33" s="16" t="s">
        <v>42</v>
      </c>
      <c r="G33" s="16">
        <v>30</v>
      </c>
      <c r="H33" s="16">
        <v>15</v>
      </c>
      <c r="I33" s="16">
        <f t="shared" si="0"/>
        <v>15</v>
      </c>
      <c r="J33" s="19">
        <f t="shared" si="1"/>
        <v>0.5</v>
      </c>
      <c r="K33" s="16" t="s">
        <v>58</v>
      </c>
      <c r="L33" s="16" t="s">
        <v>45</v>
      </c>
    </row>
    <row r="34" spans="1:12" ht="15.75" customHeight="1" x14ac:dyDescent="0.2">
      <c r="A34" s="16"/>
      <c r="B34" s="17" t="s">
        <v>88</v>
      </c>
      <c r="C34" s="16"/>
      <c r="D34" s="16" t="s">
        <v>24</v>
      </c>
      <c r="E34" s="16" t="s">
        <v>78</v>
      </c>
      <c r="F34" s="16" t="s">
        <v>41</v>
      </c>
      <c r="G34" s="16">
        <v>30</v>
      </c>
      <c r="H34" s="16">
        <v>25</v>
      </c>
      <c r="I34" s="16">
        <f t="shared" si="0"/>
        <v>5</v>
      </c>
      <c r="J34" s="19">
        <f t="shared" si="1"/>
        <v>0.83333333333333337</v>
      </c>
      <c r="K34" s="16" t="s">
        <v>58</v>
      </c>
      <c r="L34" s="16" t="s">
        <v>45</v>
      </c>
    </row>
    <row r="35" spans="1:12" ht="15.75" customHeight="1" x14ac:dyDescent="0.2">
      <c r="A35" s="16"/>
      <c r="B35" s="17"/>
      <c r="C35" s="16"/>
      <c r="D35" s="16"/>
      <c r="E35" s="16"/>
      <c r="F35" s="16"/>
      <c r="G35" s="16"/>
      <c r="H35" s="16"/>
      <c r="I35" s="16">
        <f t="shared" si="0"/>
        <v>0</v>
      </c>
      <c r="J35" s="19"/>
      <c r="K35" s="16"/>
      <c r="L35" s="16"/>
    </row>
    <row r="36" spans="1:12" ht="15.75" customHeight="1" x14ac:dyDescent="0.2">
      <c r="A36" s="16"/>
      <c r="B36" s="17" t="s">
        <v>88</v>
      </c>
      <c r="C36" s="16" t="s">
        <v>63</v>
      </c>
      <c r="D36" s="16" t="s">
        <v>64</v>
      </c>
      <c r="E36" s="16"/>
      <c r="F36" s="16" t="s">
        <v>43</v>
      </c>
      <c r="G36" s="16">
        <v>30</v>
      </c>
      <c r="H36" s="16">
        <v>30</v>
      </c>
      <c r="I36" s="16">
        <f t="shared" si="0"/>
        <v>0</v>
      </c>
      <c r="J36" s="19">
        <f t="shared" si="1"/>
        <v>1</v>
      </c>
      <c r="K36" s="16" t="s">
        <v>58</v>
      </c>
      <c r="L36" s="16" t="s">
        <v>45</v>
      </c>
    </row>
    <row r="37" spans="1:12" ht="15.75" customHeight="1" x14ac:dyDescent="0.2">
      <c r="A37" s="16"/>
      <c r="B37" s="17" t="s">
        <v>88</v>
      </c>
      <c r="C37" s="16"/>
      <c r="D37" s="16" t="s">
        <v>65</v>
      </c>
      <c r="E37" s="16"/>
      <c r="F37" s="16" t="s">
        <v>42</v>
      </c>
      <c r="G37" s="16">
        <v>45</v>
      </c>
      <c r="H37" s="16">
        <v>40</v>
      </c>
      <c r="I37" s="16">
        <f t="shared" si="0"/>
        <v>5</v>
      </c>
      <c r="J37" s="19">
        <f t="shared" si="1"/>
        <v>0.88888888888888884</v>
      </c>
      <c r="K37" s="16" t="s">
        <v>58</v>
      </c>
      <c r="L37" s="16" t="s">
        <v>45</v>
      </c>
    </row>
    <row r="38" spans="1:12" ht="15.75" customHeight="1" x14ac:dyDescent="0.2">
      <c r="A38" s="16"/>
      <c r="B38" s="17" t="s">
        <v>88</v>
      </c>
      <c r="C38" s="16"/>
      <c r="D38" s="16" t="s">
        <v>66</v>
      </c>
      <c r="E38" s="16"/>
      <c r="F38" s="16" t="s">
        <v>41</v>
      </c>
      <c r="G38" s="16">
        <v>20</v>
      </c>
      <c r="H38" s="16">
        <v>15</v>
      </c>
      <c r="I38" s="16">
        <f t="shared" si="0"/>
        <v>5</v>
      </c>
      <c r="J38" s="19">
        <f t="shared" si="1"/>
        <v>0.75</v>
      </c>
      <c r="K38" s="16" t="s">
        <v>58</v>
      </c>
      <c r="L38" s="16" t="s">
        <v>45</v>
      </c>
    </row>
    <row r="39" spans="1:12" ht="15.75" customHeight="1" x14ac:dyDescent="0.2">
      <c r="A39" s="16"/>
      <c r="B39" s="17"/>
      <c r="C39" s="16"/>
      <c r="D39" s="16"/>
      <c r="E39" s="16"/>
      <c r="F39" s="16"/>
      <c r="G39" s="16"/>
      <c r="H39" s="16"/>
      <c r="I39" s="16">
        <f t="shared" si="0"/>
        <v>0</v>
      </c>
      <c r="J39" s="19"/>
      <c r="K39" s="16"/>
      <c r="L39" s="16"/>
    </row>
    <row r="40" spans="1:12" ht="15.75" customHeight="1" x14ac:dyDescent="0.2">
      <c r="A40" s="16"/>
      <c r="B40" s="17" t="s">
        <v>88</v>
      </c>
      <c r="C40" s="16" t="s">
        <v>82</v>
      </c>
      <c r="D40" s="16" t="s">
        <v>63</v>
      </c>
      <c r="E40" s="16"/>
      <c r="F40" s="16" t="s">
        <v>59</v>
      </c>
      <c r="G40" s="16">
        <v>45</v>
      </c>
      <c r="H40" s="16">
        <v>30</v>
      </c>
      <c r="I40" s="16">
        <f t="shared" si="0"/>
        <v>15</v>
      </c>
      <c r="J40" s="19">
        <f t="shared" si="1"/>
        <v>0.66666666666666663</v>
      </c>
      <c r="K40" s="16" t="s">
        <v>46</v>
      </c>
      <c r="L40" s="16" t="s">
        <v>45</v>
      </c>
    </row>
    <row r="41" spans="1:12" ht="15.75" customHeight="1" x14ac:dyDescent="0.2">
      <c r="A41" s="16"/>
      <c r="B41" s="17" t="s">
        <v>88</v>
      </c>
      <c r="C41" s="16"/>
      <c r="D41" s="16" t="s">
        <v>60</v>
      </c>
      <c r="E41" s="16"/>
      <c r="F41" s="16" t="s">
        <v>59</v>
      </c>
      <c r="G41" s="16">
        <v>50</v>
      </c>
      <c r="H41" s="16">
        <v>40</v>
      </c>
      <c r="I41" s="16">
        <f t="shared" si="0"/>
        <v>10</v>
      </c>
      <c r="J41" s="19">
        <f t="shared" si="1"/>
        <v>0.8</v>
      </c>
      <c r="K41" s="16" t="s">
        <v>46</v>
      </c>
      <c r="L41" s="16" t="s">
        <v>45</v>
      </c>
    </row>
    <row r="42" spans="1:12" ht="15.75" customHeight="1" x14ac:dyDescent="0.2">
      <c r="A42" s="16"/>
      <c r="B42" s="17" t="s">
        <v>88</v>
      </c>
      <c r="C42" s="16"/>
      <c r="D42" s="16" t="s">
        <v>24</v>
      </c>
      <c r="E42" s="16"/>
      <c r="F42" s="16" t="s">
        <v>59</v>
      </c>
      <c r="G42" s="16">
        <v>120</v>
      </c>
      <c r="H42" s="16">
        <v>90</v>
      </c>
      <c r="I42" s="16">
        <f t="shared" si="0"/>
        <v>30</v>
      </c>
      <c r="J42" s="19">
        <f t="shared" si="1"/>
        <v>0.75</v>
      </c>
      <c r="K42" s="16" t="s">
        <v>46</v>
      </c>
      <c r="L42" s="16" t="s">
        <v>45</v>
      </c>
    </row>
    <row r="43" spans="1:12" ht="15.75" customHeight="1" x14ac:dyDescent="0.2">
      <c r="A43" s="16"/>
      <c r="B43" s="17" t="s">
        <v>88</v>
      </c>
      <c r="C43" s="16"/>
      <c r="D43" s="16" t="s">
        <v>79</v>
      </c>
      <c r="E43" s="16"/>
      <c r="F43" s="16" t="s">
        <v>59</v>
      </c>
      <c r="G43" s="16">
        <v>30</v>
      </c>
      <c r="H43" s="16">
        <v>20</v>
      </c>
      <c r="I43" s="16">
        <f t="shared" si="0"/>
        <v>10</v>
      </c>
      <c r="J43" s="19">
        <f t="shared" si="1"/>
        <v>0.66666666666666663</v>
      </c>
      <c r="K43" s="16" t="s">
        <v>46</v>
      </c>
      <c r="L43" s="16" t="s">
        <v>45</v>
      </c>
    </row>
    <row r="44" spans="1:12" ht="15.75" customHeight="1" x14ac:dyDescent="0.2">
      <c r="A44" s="16"/>
      <c r="B44" s="17" t="s">
        <v>88</v>
      </c>
      <c r="C44" s="16"/>
      <c r="D44" s="16" t="s">
        <v>80</v>
      </c>
      <c r="E44" s="16"/>
      <c r="F44" s="16" t="s">
        <v>59</v>
      </c>
      <c r="G44" s="16">
        <v>30</v>
      </c>
      <c r="H44" s="16">
        <v>20</v>
      </c>
      <c r="I44" s="16">
        <f t="shared" si="0"/>
        <v>10</v>
      </c>
      <c r="J44" s="19">
        <f t="shared" si="1"/>
        <v>0.66666666666666663</v>
      </c>
      <c r="K44" s="16" t="s">
        <v>46</v>
      </c>
      <c r="L44" s="16" t="s">
        <v>45</v>
      </c>
    </row>
    <row r="45" spans="1:12" ht="15.75" customHeight="1" x14ac:dyDescent="0.2">
      <c r="A45" s="16"/>
      <c r="B45" s="17" t="s">
        <v>88</v>
      </c>
      <c r="C45" s="16"/>
      <c r="D45" s="16" t="s">
        <v>49</v>
      </c>
      <c r="E45" s="16"/>
      <c r="F45" s="16" t="s">
        <v>59</v>
      </c>
      <c r="G45" s="16">
        <v>30</v>
      </c>
      <c r="H45" s="16">
        <v>20</v>
      </c>
      <c r="I45" s="16">
        <f t="shared" si="0"/>
        <v>10</v>
      </c>
      <c r="J45" s="19">
        <f t="shared" si="1"/>
        <v>0.66666666666666663</v>
      </c>
      <c r="K45" s="16" t="s">
        <v>58</v>
      </c>
      <c r="L45" s="16" t="s">
        <v>45</v>
      </c>
    </row>
    <row r="46" spans="1:12" ht="15.75" customHeight="1" x14ac:dyDescent="0.2">
      <c r="A46" s="16"/>
      <c r="B46" s="17" t="s">
        <v>88</v>
      </c>
      <c r="C46" s="16"/>
      <c r="D46" s="16" t="s">
        <v>54</v>
      </c>
      <c r="E46" s="16"/>
      <c r="F46" s="16" t="s">
        <v>59</v>
      </c>
      <c r="G46" s="16">
        <v>30</v>
      </c>
      <c r="H46" s="16">
        <v>25</v>
      </c>
      <c r="I46" s="16">
        <f t="shared" si="0"/>
        <v>5</v>
      </c>
      <c r="J46" s="19">
        <f t="shared" si="1"/>
        <v>0.83333333333333337</v>
      </c>
      <c r="K46" s="16" t="s">
        <v>46</v>
      </c>
      <c r="L46" s="16" t="s">
        <v>45</v>
      </c>
    </row>
    <row r="47" spans="1:12" ht="15.75" customHeight="1" x14ac:dyDescent="0.2">
      <c r="A47" s="16"/>
      <c r="B47" s="17" t="s">
        <v>88</v>
      </c>
      <c r="C47" s="16"/>
      <c r="D47" s="16" t="s">
        <v>76</v>
      </c>
      <c r="E47" s="16"/>
      <c r="F47" s="16" t="s">
        <v>59</v>
      </c>
      <c r="G47" s="16">
        <v>50</v>
      </c>
      <c r="H47" s="16">
        <v>45</v>
      </c>
      <c r="I47" s="16">
        <f t="shared" si="0"/>
        <v>5</v>
      </c>
      <c r="J47" s="19">
        <f t="shared" si="1"/>
        <v>0.9</v>
      </c>
      <c r="K47" s="16" t="s">
        <v>44</v>
      </c>
      <c r="L47" s="16" t="s">
        <v>45</v>
      </c>
    </row>
    <row r="48" spans="1:12" ht="15.75" customHeight="1" x14ac:dyDescent="0.2">
      <c r="A48" s="16"/>
      <c r="B48" s="17" t="s">
        <v>88</v>
      </c>
      <c r="C48" s="16"/>
      <c r="D48" s="16" t="s">
        <v>81</v>
      </c>
      <c r="E48" s="16"/>
      <c r="F48" s="16" t="s">
        <v>59</v>
      </c>
      <c r="G48" s="16">
        <v>45</v>
      </c>
      <c r="H48" s="16">
        <v>45</v>
      </c>
      <c r="I48" s="16">
        <f t="shared" si="0"/>
        <v>0</v>
      </c>
      <c r="J48" s="19">
        <f t="shared" si="1"/>
        <v>1</v>
      </c>
      <c r="K48" s="16" t="s">
        <v>44</v>
      </c>
      <c r="L48" s="16" t="s">
        <v>45</v>
      </c>
    </row>
    <row r="49" spans="1:12" ht="15.75" customHeight="1" x14ac:dyDescent="0.2">
      <c r="A49" s="16"/>
      <c r="B49" s="16"/>
      <c r="C49" s="16"/>
      <c r="D49" s="16"/>
      <c r="E49" s="16"/>
      <c r="F49" s="16"/>
      <c r="G49" s="16"/>
      <c r="H49" s="16"/>
      <c r="I49" s="16">
        <f t="shared" si="0"/>
        <v>0</v>
      </c>
      <c r="J49" s="19"/>
      <c r="K49" s="16"/>
      <c r="L49" s="16"/>
    </row>
    <row r="50" spans="1:12" ht="15.75" customHeight="1" x14ac:dyDescent="0.2">
      <c r="A50" s="16"/>
      <c r="B50" s="17" t="s">
        <v>89</v>
      </c>
      <c r="C50" s="16" t="s">
        <v>83</v>
      </c>
      <c r="D50" s="16" t="s">
        <v>84</v>
      </c>
      <c r="E50" s="16"/>
      <c r="F50" s="16" t="s">
        <v>86</v>
      </c>
      <c r="G50" s="16">
        <v>120</v>
      </c>
      <c r="H50" s="16">
        <v>90</v>
      </c>
      <c r="I50" s="16">
        <f t="shared" si="0"/>
        <v>30</v>
      </c>
      <c r="J50" s="19">
        <f t="shared" si="1"/>
        <v>0.75</v>
      </c>
      <c r="K50" s="16" t="s">
        <v>87</v>
      </c>
      <c r="L50" s="16" t="s">
        <v>45</v>
      </c>
    </row>
    <row r="51" spans="1:12" ht="15.75" customHeight="1" x14ac:dyDescent="0.2">
      <c r="A51" s="16"/>
      <c r="B51" s="17" t="s">
        <v>89</v>
      </c>
      <c r="C51" s="16"/>
      <c r="D51" s="16" t="s">
        <v>85</v>
      </c>
      <c r="E51" s="16"/>
      <c r="F51" s="16" t="s">
        <v>85</v>
      </c>
      <c r="G51" s="16">
        <v>15</v>
      </c>
      <c r="H51" s="16">
        <v>10</v>
      </c>
      <c r="I51" s="16">
        <f>G51-H51</f>
        <v>5</v>
      </c>
      <c r="J51" s="19">
        <f t="shared" si="1"/>
        <v>0.66666666666666663</v>
      </c>
      <c r="K51" s="16" t="s">
        <v>87</v>
      </c>
      <c r="L51" s="16" t="s">
        <v>45</v>
      </c>
    </row>
    <row r="52" spans="1:12" ht="15.75" customHeight="1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9"/>
      <c r="K52" s="16"/>
      <c r="L52" s="16"/>
    </row>
    <row r="53" spans="1:12" ht="15.75" customHeight="1" x14ac:dyDescent="0.2">
      <c r="A53" s="16"/>
      <c r="B53" s="17" t="s">
        <v>88</v>
      </c>
      <c r="C53" s="16" t="s">
        <v>91</v>
      </c>
      <c r="D53" s="16" t="s">
        <v>93</v>
      </c>
      <c r="E53" s="16"/>
      <c r="F53" s="16" t="s">
        <v>41</v>
      </c>
      <c r="G53" s="16">
        <v>20</v>
      </c>
      <c r="H53" s="16">
        <v>15</v>
      </c>
      <c r="I53" s="16">
        <f t="shared" ref="I53:I54" si="2">G53-H53</f>
        <v>5</v>
      </c>
      <c r="J53" s="19">
        <f t="shared" si="1"/>
        <v>0.75</v>
      </c>
      <c r="K53" s="16" t="s">
        <v>44</v>
      </c>
      <c r="L53" s="16" t="s">
        <v>45</v>
      </c>
    </row>
    <row r="54" spans="1:12" ht="15.75" customHeight="1" x14ac:dyDescent="0.2">
      <c r="A54" s="16"/>
      <c r="B54" s="17" t="s">
        <v>88</v>
      </c>
      <c r="C54" s="16" t="s">
        <v>92</v>
      </c>
      <c r="D54" s="16" t="s">
        <v>94</v>
      </c>
      <c r="E54" s="16"/>
      <c r="F54" s="16" t="s">
        <v>41</v>
      </c>
      <c r="G54" s="16">
        <v>20</v>
      </c>
      <c r="H54" s="16">
        <f>20</f>
        <v>20</v>
      </c>
      <c r="I54" s="16">
        <f t="shared" si="2"/>
        <v>0</v>
      </c>
      <c r="J54" s="19">
        <f t="shared" si="1"/>
        <v>1</v>
      </c>
      <c r="K54" s="16" t="s">
        <v>46</v>
      </c>
      <c r="L54" s="16" t="s">
        <v>45</v>
      </c>
    </row>
    <row r="55" spans="1:12" ht="15.75" customHeight="1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 spans="1:12" ht="15.75" customHeight="1" x14ac:dyDescent="0.2">
      <c r="B56" s="15"/>
    </row>
    <row r="57" spans="1:12" ht="15.75" customHeight="1" x14ac:dyDescent="0.2">
      <c r="B57" s="15"/>
    </row>
    <row r="58" spans="1:12" ht="15.75" customHeight="1" x14ac:dyDescent="0.2">
      <c r="B58" s="15"/>
    </row>
    <row r="59" spans="1:12" ht="15.75" customHeight="1" x14ac:dyDescent="0.2">
      <c r="B59" s="15"/>
    </row>
    <row r="60" spans="1:12" ht="15.75" customHeight="1" x14ac:dyDescent="0.2">
      <c r="B60" s="15"/>
    </row>
    <row r="61" spans="1:12" ht="15.75" customHeight="1" x14ac:dyDescent="0.2"/>
    <row r="62" spans="1:12" ht="15.75" customHeight="1" x14ac:dyDescent="0.2">
      <c r="B62" s="15"/>
    </row>
    <row r="63" spans="1:12" ht="15.75" customHeight="1" x14ac:dyDescent="0.2">
      <c r="B63" s="15"/>
    </row>
    <row r="64" spans="1:1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D2" sqref="D2"/>
    </sheetView>
  </sheetViews>
  <sheetFormatPr baseColWidth="10" defaultColWidth="11.1640625" defaultRowHeight="15" customHeight="1" x14ac:dyDescent="0.2"/>
  <cols>
    <col min="1" max="1" width="25.5" customWidth="1"/>
    <col min="2" max="2" width="25.83203125" customWidth="1"/>
    <col min="3" max="3" width="30.83203125" customWidth="1"/>
    <col min="4" max="4" width="12.5" customWidth="1"/>
    <col min="5" max="5" width="22.5" customWidth="1"/>
    <col min="6" max="26" width="10.5" customWidth="1"/>
  </cols>
  <sheetData>
    <row r="1" spans="1:5" ht="15.75" customHeight="1" x14ac:dyDescent="0.2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</row>
    <row r="2" spans="1:5" ht="15.75" customHeight="1" x14ac:dyDescent="0.2">
      <c r="A2" s="3">
        <f>SUM('liste des taches'!G2:G329)</f>
        <v>1440</v>
      </c>
      <c r="B2" s="3">
        <f>SUM('liste des taches'!H2:H329)</f>
        <v>1090</v>
      </c>
      <c r="C2" s="3">
        <f>SUM('liste des taches'!I2:I329)</f>
        <v>350</v>
      </c>
      <c r="D2" s="7">
        <f>(B2/(B2+C2))</f>
        <v>0.75694444444444442</v>
      </c>
      <c r="E2" s="8">
        <f>((B2+C2)-A2)/A2</f>
        <v>0</v>
      </c>
    </row>
    <row r="3" spans="1:5" ht="15.75" customHeight="1" x14ac:dyDescent="0.2">
      <c r="C3" s="3">
        <f>C2/60</f>
        <v>5.833333333333333</v>
      </c>
      <c r="D3" s="3" t="s">
        <v>30</v>
      </c>
    </row>
    <row r="4" spans="1:5" ht="15.75" customHeight="1" x14ac:dyDescent="0.2"/>
    <row r="5" spans="1:5" ht="15.75" customHeight="1" x14ac:dyDescent="0.2"/>
    <row r="6" spans="1:5" ht="15.75" customHeight="1" x14ac:dyDescent="0.2"/>
    <row r="7" spans="1:5" ht="15.75" customHeight="1" x14ac:dyDescent="0.2"/>
    <row r="8" spans="1:5" ht="15.75" customHeight="1" x14ac:dyDescent="0.2"/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1.1640625" defaultRowHeight="15" customHeight="1" x14ac:dyDescent="0.2"/>
  <cols>
    <col min="1" max="28" width="10.5" customWidth="1"/>
  </cols>
  <sheetData>
    <row r="1" spans="1:5" ht="15.75" customHeight="1" x14ac:dyDescent="0.2">
      <c r="A1" s="4" t="s">
        <v>5</v>
      </c>
      <c r="B1" s="1" t="s">
        <v>31</v>
      </c>
      <c r="C1" s="9">
        <v>46048</v>
      </c>
      <c r="D1" s="9">
        <v>46049</v>
      </c>
      <c r="E1" s="9">
        <v>46050</v>
      </c>
    </row>
    <row r="2" spans="1:5" ht="15.75" customHeight="1" x14ac:dyDescent="0.2">
      <c r="A2" s="6">
        <v>1</v>
      </c>
      <c r="B2" s="3">
        <f t="shared" ref="B2:B8" si="0">SUM(D2:P2)</f>
        <v>20</v>
      </c>
      <c r="C2" s="6"/>
      <c r="D2" s="6">
        <v>20</v>
      </c>
    </row>
    <row r="3" spans="1:5" ht="15.75" customHeight="1" x14ac:dyDescent="0.2">
      <c r="A3" s="6">
        <v>2</v>
      </c>
      <c r="B3" s="3">
        <f t="shared" si="0"/>
        <v>0</v>
      </c>
    </row>
    <row r="4" spans="1:5" ht="15.75" customHeight="1" x14ac:dyDescent="0.2">
      <c r="A4" s="6">
        <v>3</v>
      </c>
      <c r="B4" s="3">
        <f t="shared" si="0"/>
        <v>10</v>
      </c>
      <c r="C4" s="6">
        <v>20</v>
      </c>
      <c r="D4" s="6">
        <v>10</v>
      </c>
    </row>
    <row r="5" spans="1:5" ht="15.75" customHeight="1" x14ac:dyDescent="0.2">
      <c r="A5" s="6">
        <v>4</v>
      </c>
      <c r="B5" s="3">
        <f t="shared" si="0"/>
        <v>0</v>
      </c>
    </row>
    <row r="6" spans="1:5" ht="15.75" customHeight="1" x14ac:dyDescent="0.2">
      <c r="A6" s="6">
        <v>5</v>
      </c>
      <c r="B6" s="3">
        <f t="shared" si="0"/>
        <v>0</v>
      </c>
    </row>
    <row r="7" spans="1:5" ht="15.75" customHeight="1" x14ac:dyDescent="0.2">
      <c r="A7" s="6">
        <v>6</v>
      </c>
      <c r="B7" s="3">
        <f t="shared" si="0"/>
        <v>0</v>
      </c>
    </row>
    <row r="8" spans="1:5" ht="15.75" customHeight="1" x14ac:dyDescent="0.2">
      <c r="A8" s="6">
        <v>7</v>
      </c>
      <c r="B8" s="3">
        <f t="shared" si="0"/>
        <v>0</v>
      </c>
    </row>
    <row r="9" spans="1:5" ht="15.75" customHeight="1" x14ac:dyDescent="0.2"/>
    <row r="10" spans="1:5" ht="15.75" customHeight="1" x14ac:dyDescent="0.2"/>
    <row r="11" spans="1:5" ht="15.75" customHeight="1" x14ac:dyDescent="0.2"/>
    <row r="12" spans="1:5" ht="15.75" customHeight="1" x14ac:dyDescent="0.2"/>
    <row r="13" spans="1:5" ht="15.75" customHeight="1" x14ac:dyDescent="0.2"/>
    <row r="14" spans="1:5" ht="15.75" customHeight="1" x14ac:dyDescent="0.2"/>
    <row r="15" spans="1:5" ht="15.75" customHeight="1" x14ac:dyDescent="0.2"/>
    <row r="16" spans="1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Détails1</vt:lpstr>
      <vt:lpstr>Recap</vt:lpstr>
      <vt:lpstr>liste des taches</vt:lpstr>
      <vt:lpstr>avancement projet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Rojo Raben</dc:creator>
  <cp:lastModifiedBy>AIRS</cp:lastModifiedBy>
  <dcterms:created xsi:type="dcterms:W3CDTF">2026-01-08T08:10:07Z</dcterms:created>
  <dcterms:modified xsi:type="dcterms:W3CDTF">2026-02-17T12:14:09Z</dcterms:modified>
</cp:coreProperties>
</file>